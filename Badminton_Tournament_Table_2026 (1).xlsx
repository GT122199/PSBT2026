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mc:AlternateContent xmlns:mc="http://schemas.openxmlformats.org/markup-compatibility/2006">
    <mc:Choice Requires="x15">
      <x15ac:absPath xmlns:x15ac="http://schemas.microsoft.com/office/spreadsheetml/2010/11/ac" url="https://skyechip-my.sharepoint.com/personal/gao_tek_lim_skyechip_com/Documents/WEFC/PSBT/"/>
    </mc:Choice>
  </mc:AlternateContent>
  <xr:revisionPtr revIDLastSave="232" documentId="14_{DE86F8BE-2BB4-40C3-9123-1281742162BB}" xr6:coauthVersionLast="47" xr6:coauthVersionMax="47" xr10:uidLastSave="{1EC73067-0FED-4D03-84EA-12666DA32CA0}"/>
  <bookViews>
    <workbookView xWindow="-28920" yWindow="-120" windowWidth="29040" windowHeight="15720" firstSheet="1" xr2:uid="{56E5A6B3-950F-4994-BE1F-96DFD225208D}"/>
  </bookViews>
  <sheets>
    <sheet name="Actual Plan" sheetId="5" r:id="rId1"/>
    <sheet name="CourtPla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0" i="5" l="1"/>
  <c r="M41" i="5"/>
  <c r="M42" i="5"/>
  <c r="M39" i="5"/>
  <c r="O29" i="5" a="1"/>
  <c r="O34" i="5" a="1"/>
  <c r="O39" i="5" a="1"/>
  <c r="AM35" i="5"/>
  <c r="AI35" i="5"/>
  <c r="AA35" i="5"/>
  <c r="Z35" i="5"/>
  <c r="AE35" i="5"/>
  <c r="AQ35" i="5"/>
  <c r="AP35" i="5"/>
  <c r="AH35" i="5"/>
  <c r="W35" i="5"/>
  <c r="AL35" i="5"/>
  <c r="AD35" i="5"/>
  <c r="V35" i="5"/>
  <c r="AE32" i="5"/>
  <c r="AD32" i="5"/>
  <c r="AA32" i="5"/>
  <c r="Z32" i="5"/>
  <c r="W32" i="5"/>
  <c r="AH28" i="5" s="1"/>
  <c r="M35" i="5" s="1"/>
  <c r="V32" i="5"/>
  <c r="AH29" i="5"/>
  <c r="M36" i="5" s="1"/>
  <c r="AE26" i="5"/>
  <c r="AD26" i="5"/>
  <c r="AA26" i="5"/>
  <c r="Z26" i="5"/>
  <c r="W26" i="5"/>
  <c r="V26" i="5"/>
  <c r="AE18" i="5"/>
  <c r="AD18" i="5"/>
  <c r="AA18" i="5"/>
  <c r="Z18" i="5"/>
  <c r="W18" i="5"/>
  <c r="V18" i="5"/>
  <c r="AE24" i="5"/>
  <c r="AD24" i="5"/>
  <c r="AA24" i="5"/>
  <c r="Z24" i="5"/>
  <c r="W24" i="5"/>
  <c r="V24" i="5"/>
  <c r="AQ41" i="5"/>
  <c r="AP41" i="5"/>
  <c r="AM41" i="5"/>
  <c r="AL41" i="5"/>
  <c r="AI41" i="5"/>
  <c r="AH41" i="5"/>
  <c r="AE41" i="5"/>
  <c r="AD41" i="5"/>
  <c r="AA41" i="5"/>
  <c r="Z41" i="5"/>
  <c r="W41" i="5"/>
  <c r="V41" i="5"/>
  <c r="AT36" i="5" l="1"/>
  <c r="AT35" i="5"/>
  <c r="AT37" i="5"/>
  <c r="AH21" i="5"/>
  <c r="M31" i="5" s="1"/>
  <c r="AH19" i="5"/>
  <c r="M29" i="5" s="1"/>
  <c r="AH27" i="5"/>
  <c r="M34" i="5" s="1"/>
  <c r="AH20" i="5"/>
  <c r="M30" i="5" s="1"/>
  <c r="AT38" i="5"/>
  <c r="O39" i="5"/>
  <c r="O34" i="5"/>
  <c r="O2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<sst xmlns="http://schemas.openxmlformats.org/spreadsheetml/2006/main" count="172" uniqueCount="47">
  <si>
    <t>Draw</t>
  </si>
  <si>
    <t>(3:0)</t>
  </si>
  <si>
    <t>(0:3)</t>
  </si>
  <si>
    <t>(3:1)</t>
  </si>
  <si>
    <t>(1:3)</t>
  </si>
  <si>
    <t>Team</t>
  </si>
  <si>
    <t>(3:2)</t>
  </si>
  <si>
    <t>(2:3)</t>
  </si>
  <si>
    <t>Group</t>
  </si>
  <si>
    <t>Current Plan</t>
  </si>
  <si>
    <t>Group 3</t>
  </si>
  <si>
    <t>Group 1</t>
  </si>
  <si>
    <t>Total AP</t>
  </si>
  <si>
    <t>MD1</t>
  </si>
  <si>
    <t>MX1</t>
  </si>
  <si>
    <t>MD2</t>
  </si>
  <si>
    <t>Group 2</t>
  </si>
  <si>
    <t>MX2</t>
  </si>
  <si>
    <t>MS</t>
  </si>
  <si>
    <t>Record</t>
  </si>
  <si>
    <t>Stnadings</t>
  </si>
  <si>
    <t>G1</t>
  </si>
  <si>
    <t>Team Ties</t>
  </si>
  <si>
    <t>Total W</t>
  </si>
  <si>
    <t>Total L</t>
  </si>
  <si>
    <t>G3</t>
  </si>
  <si>
    <t xml:space="preserve"> G2</t>
  </si>
  <si>
    <t>Knockout</t>
  </si>
  <si>
    <t>SF1</t>
  </si>
  <si>
    <t>Finals</t>
  </si>
  <si>
    <t>G3T1</t>
  </si>
  <si>
    <t>SF2</t>
  </si>
  <si>
    <t>G2</t>
  </si>
  <si>
    <t>G3T2</t>
  </si>
  <si>
    <t>Court</t>
  </si>
  <si>
    <t>2 vs 5</t>
  </si>
  <si>
    <t>1 vs 4</t>
  </si>
  <si>
    <t>3 vs 7</t>
  </si>
  <si>
    <t>8 vs 9</t>
  </si>
  <si>
    <t>2 vs 10</t>
  </si>
  <si>
    <t>1 vs 6</t>
  </si>
  <si>
    <t>3 vs 8</t>
  </si>
  <si>
    <t>7 vs 9</t>
  </si>
  <si>
    <t>5 vs 10</t>
  </si>
  <si>
    <t>4 vs 6</t>
  </si>
  <si>
    <t>3 vs 9</t>
  </si>
  <si>
    <t>7 vs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</si>
</sst>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2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434067</xdr:colOff>
      <xdr:row>44</xdr:row>
      <xdr:rowOff>68943</xdr:rowOff>
    </xdr:from>
    <xdr:to>
      <xdr:col>30</xdr:col>
      <xdr:colOff>476597</xdr:colOff>
      <xdr:row>58</xdr:row>
      <xdr:rowOff>136359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E36753-A832-4B80-8E60-D7D446568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1567" y="8031843"/>
          <a:ext cx="7967330" cy="2601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DEF1-CD16-4468-946A-773D5C57B84A}">
  <dimension ref="C2:AT93"/>
  <sheetViews>
    <sheetView tabSelected="1" topLeftCell="B14" zoomScale="70" zoomScaleNormal="70" workbookViewId="0">
      <selection activeCell="AO53" sqref="AO53"/>
    </sheetView>
  </sheetViews>
  <sheetFormatPr defaultRowHeight="14.45"/>
  <cols>
    <col min="16" max="16" width="10.85546875" customWidth="1"/>
  </cols>
  <sheetData>
    <row r="2" spans="3:46">
      <c r="E2" t="s">
        <v>0</v>
      </c>
      <c r="R2" s="2" t="s">
        <v>1</v>
      </c>
      <c r="S2" t="s">
        <v>2</v>
      </c>
    </row>
    <row r="3" spans="3:46">
      <c r="R3" s="2" t="s">
        <v>3</v>
      </c>
      <c r="S3" t="s">
        <v>4</v>
      </c>
    </row>
    <row r="4" spans="3:46">
      <c r="E4" s="5"/>
      <c r="F4" s="5" t="s">
        <v>5</v>
      </c>
      <c r="G4" s="5">
        <v>1</v>
      </c>
      <c r="H4" s="5">
        <v>2</v>
      </c>
      <c r="I4" s="5">
        <v>3</v>
      </c>
      <c r="J4" s="5">
        <v>4</v>
      </c>
      <c r="R4" s="2" t="s">
        <v>6</v>
      </c>
      <c r="S4" t="s">
        <v>7</v>
      </c>
    </row>
    <row r="5" spans="3:46">
      <c r="E5" s="5" t="s">
        <v>8</v>
      </c>
      <c r="F5" s="6"/>
      <c r="G5" s="6"/>
      <c r="H5" s="6"/>
      <c r="I5" s="6"/>
      <c r="J5" s="6"/>
    </row>
    <row r="6" spans="3:46">
      <c r="E6" s="5">
        <v>1</v>
      </c>
      <c r="F6" s="6"/>
      <c r="G6" s="5">
        <v>10</v>
      </c>
      <c r="H6" s="5">
        <v>2</v>
      </c>
      <c r="I6" s="5">
        <v>5</v>
      </c>
      <c r="J6" s="6"/>
    </row>
    <row r="7" spans="3:46">
      <c r="C7" t="s">
        <v>9</v>
      </c>
      <c r="E7" s="5">
        <v>2</v>
      </c>
      <c r="F7" s="6"/>
      <c r="G7" s="5">
        <v>6</v>
      </c>
      <c r="H7" s="5">
        <v>4</v>
      </c>
      <c r="I7" s="5">
        <v>1</v>
      </c>
      <c r="J7" s="6"/>
    </row>
    <row r="8" spans="3:46">
      <c r="E8" s="5">
        <v>3</v>
      </c>
      <c r="F8" s="6"/>
      <c r="G8" s="5">
        <v>3</v>
      </c>
      <c r="H8" s="5">
        <v>7</v>
      </c>
      <c r="I8" s="5">
        <v>8</v>
      </c>
      <c r="J8" s="5">
        <v>9</v>
      </c>
      <c r="AS8" s="4"/>
      <c r="AT8" s="4"/>
    </row>
    <row r="9" spans="3:46">
      <c r="C9" t="s">
        <v>10</v>
      </c>
    </row>
    <row r="10" spans="3:46">
      <c r="C10" s="5"/>
      <c r="D10" s="5">
        <v>3</v>
      </c>
      <c r="E10" s="5">
        <v>7</v>
      </c>
      <c r="F10" s="5">
        <v>8</v>
      </c>
      <c r="G10" s="5">
        <v>9</v>
      </c>
    </row>
    <row r="11" spans="3:46">
      <c r="C11" s="5">
        <v>3</v>
      </c>
      <c r="D11" s="6"/>
      <c r="E11" s="7"/>
      <c r="F11" s="7"/>
      <c r="G11" s="7"/>
    </row>
    <row r="12" spans="3:46">
      <c r="C12" s="5">
        <v>7</v>
      </c>
      <c r="D12" s="5"/>
      <c r="E12" s="6"/>
      <c r="F12" s="7"/>
      <c r="G12" s="7"/>
    </row>
    <row r="13" spans="3:46">
      <c r="C13" s="5">
        <v>8</v>
      </c>
      <c r="D13" s="5"/>
      <c r="E13" s="5"/>
      <c r="F13" s="6"/>
      <c r="G13" s="7"/>
    </row>
    <row r="14" spans="3:46">
      <c r="C14" s="5">
        <v>9</v>
      </c>
      <c r="D14" s="5"/>
      <c r="E14" s="5"/>
      <c r="F14" s="5"/>
      <c r="G14" s="6"/>
    </row>
    <row r="15" spans="3:46">
      <c r="C15" s="4"/>
      <c r="D15" s="4"/>
      <c r="E15" s="4"/>
      <c r="F15" s="4"/>
      <c r="G15" s="4"/>
    </row>
    <row r="16" spans="3:46">
      <c r="C16" s="4" t="s">
        <v>11</v>
      </c>
      <c r="D16" s="4"/>
      <c r="E16" s="4"/>
      <c r="F16" s="4"/>
      <c r="G16" s="4"/>
    </row>
    <row r="17" spans="3:46">
      <c r="C17" s="5"/>
      <c r="D17" s="5">
        <v>2</v>
      </c>
      <c r="E17" s="5">
        <v>5</v>
      </c>
      <c r="F17" s="5">
        <v>10</v>
      </c>
      <c r="G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S17" s="4"/>
      <c r="AT17" s="4"/>
    </row>
    <row r="18" spans="3:46">
      <c r="C18" s="5">
        <v>2</v>
      </c>
      <c r="D18" s="6"/>
      <c r="E18" s="7"/>
      <c r="F18" s="7"/>
      <c r="G18" s="4"/>
      <c r="U18" s="5" t="s">
        <v>5</v>
      </c>
      <c r="V18" s="5">
        <f>AG19</f>
        <v>2</v>
      </c>
      <c r="W18" s="5">
        <f>AG20</f>
        <v>5</v>
      </c>
      <c r="X18" s="4"/>
      <c r="Y18" s="5" t="s">
        <v>5</v>
      </c>
      <c r="Z18" s="5">
        <f>AG20</f>
        <v>5</v>
      </c>
      <c r="AA18" s="5">
        <f>AG21</f>
        <v>10</v>
      </c>
      <c r="AB18" s="4"/>
      <c r="AC18" s="5" t="s">
        <v>5</v>
      </c>
      <c r="AD18" s="5">
        <f>AG19</f>
        <v>2</v>
      </c>
      <c r="AE18" s="5">
        <f>AG21</f>
        <v>10</v>
      </c>
      <c r="AG18" s="4" t="s">
        <v>5</v>
      </c>
      <c r="AH18" s="4" t="s">
        <v>12</v>
      </c>
      <c r="AI18" s="4"/>
      <c r="AJ18" s="4"/>
      <c r="AK18" s="4"/>
      <c r="AL18" s="4"/>
      <c r="AM18" s="4"/>
      <c r="AN18" s="4"/>
      <c r="AO18" s="4"/>
      <c r="AP18" s="4"/>
      <c r="AQ18" s="4"/>
      <c r="AS18" s="4"/>
      <c r="AT18" s="4"/>
    </row>
    <row r="19" spans="3:46">
      <c r="C19" s="5">
        <v>5</v>
      </c>
      <c r="D19" s="5"/>
      <c r="E19" s="6"/>
      <c r="F19" s="7"/>
      <c r="G19" s="4"/>
      <c r="U19" s="5" t="s">
        <v>13</v>
      </c>
      <c r="V19" s="5"/>
      <c r="W19" s="5"/>
      <c r="X19" s="4"/>
      <c r="Y19" s="5" t="s">
        <v>13</v>
      </c>
      <c r="Z19" s="5"/>
      <c r="AA19" s="5"/>
      <c r="AB19" s="4"/>
      <c r="AC19" s="5" t="s">
        <v>13</v>
      </c>
      <c r="AD19" s="5"/>
      <c r="AE19" s="5"/>
      <c r="AG19" s="4">
        <v>2</v>
      </c>
      <c r="AH19" s="4">
        <f>V24+AD24</f>
        <v>0</v>
      </c>
      <c r="AI19" s="4"/>
      <c r="AJ19" s="4"/>
      <c r="AK19" s="4"/>
      <c r="AL19" s="4"/>
      <c r="AM19" s="4"/>
      <c r="AN19" s="4"/>
      <c r="AO19" s="4"/>
      <c r="AP19" s="4"/>
      <c r="AQ19" s="4"/>
      <c r="AS19" s="4"/>
      <c r="AT19" s="4"/>
    </row>
    <row r="20" spans="3:46">
      <c r="C20" s="5">
        <v>10</v>
      </c>
      <c r="D20" s="5"/>
      <c r="E20" s="5"/>
      <c r="F20" s="6"/>
      <c r="G20" s="4"/>
      <c r="U20" s="5" t="s">
        <v>14</v>
      </c>
      <c r="V20" s="5"/>
      <c r="W20" s="5"/>
      <c r="X20" s="4"/>
      <c r="Y20" s="5" t="s">
        <v>14</v>
      </c>
      <c r="Z20" s="5"/>
      <c r="AA20" s="5"/>
      <c r="AB20" s="4"/>
      <c r="AC20" s="5" t="s">
        <v>14</v>
      </c>
      <c r="AD20" s="5"/>
      <c r="AE20" s="5"/>
      <c r="AG20" s="4">
        <v>5</v>
      </c>
      <c r="AH20" s="4">
        <f>W24+Z24</f>
        <v>0</v>
      </c>
      <c r="AI20" s="4"/>
      <c r="AJ20" s="4"/>
      <c r="AK20" s="4"/>
      <c r="AL20" s="4"/>
      <c r="AM20" s="4"/>
      <c r="AN20" s="4"/>
      <c r="AO20" s="4"/>
      <c r="AP20" s="4"/>
      <c r="AQ20" s="4"/>
      <c r="AS20" s="4"/>
      <c r="AT20" s="4"/>
    </row>
    <row r="21" spans="3:46">
      <c r="C21" s="4"/>
      <c r="D21" s="4"/>
      <c r="E21" s="4"/>
      <c r="F21" s="4"/>
      <c r="G21" s="4"/>
      <c r="U21" s="5" t="s">
        <v>15</v>
      </c>
      <c r="V21" s="5"/>
      <c r="W21" s="5"/>
      <c r="X21" s="4"/>
      <c r="Y21" s="5" t="s">
        <v>15</v>
      </c>
      <c r="Z21" s="5"/>
      <c r="AA21" s="5"/>
      <c r="AB21" s="4"/>
      <c r="AC21" s="5" t="s">
        <v>15</v>
      </c>
      <c r="AD21" s="5"/>
      <c r="AE21" s="5"/>
      <c r="AG21" s="4">
        <v>10</v>
      </c>
      <c r="AH21" s="4">
        <f>AA24+AE24</f>
        <v>0</v>
      </c>
      <c r="AI21" s="4"/>
      <c r="AJ21" s="4"/>
      <c r="AK21" s="4"/>
      <c r="AL21" s="4"/>
      <c r="AM21" s="4"/>
      <c r="AN21" s="4"/>
      <c r="AO21" s="4"/>
      <c r="AP21" s="4"/>
      <c r="AQ21" s="4"/>
      <c r="AS21" s="4"/>
      <c r="AT21" s="4"/>
    </row>
    <row r="22" spans="3:46">
      <c r="C22" s="4" t="s">
        <v>16</v>
      </c>
      <c r="D22" s="4"/>
      <c r="E22" s="4"/>
      <c r="F22" s="4"/>
      <c r="G22" s="8"/>
      <c r="U22" s="5" t="s">
        <v>17</v>
      </c>
      <c r="V22" s="5"/>
      <c r="W22" s="5"/>
      <c r="X22" s="4"/>
      <c r="Y22" s="5" t="s">
        <v>17</v>
      </c>
      <c r="Z22" s="5"/>
      <c r="AA22" s="5"/>
      <c r="AB22" s="4"/>
      <c r="AC22" s="5" t="s">
        <v>17</v>
      </c>
      <c r="AD22" s="5"/>
      <c r="AE22" s="5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S22" s="4"/>
      <c r="AT22" s="4"/>
    </row>
    <row r="23" spans="3:46">
      <c r="C23" s="5"/>
      <c r="D23" s="5">
        <v>1</v>
      </c>
      <c r="E23" s="5">
        <v>4</v>
      </c>
      <c r="F23" s="5">
        <v>6</v>
      </c>
      <c r="G23" s="8"/>
      <c r="U23" s="5" t="s">
        <v>18</v>
      </c>
      <c r="V23" s="5"/>
      <c r="W23" s="5"/>
      <c r="X23" s="4"/>
      <c r="Y23" s="5" t="s">
        <v>18</v>
      </c>
      <c r="Z23" s="5"/>
      <c r="AA23" s="5"/>
      <c r="AB23" s="4"/>
      <c r="AC23" s="5" t="s">
        <v>18</v>
      </c>
      <c r="AD23" s="5"/>
      <c r="AE23" s="5"/>
      <c r="AI23" s="4"/>
      <c r="AJ23" s="4"/>
      <c r="AK23" s="4"/>
      <c r="AL23" s="4"/>
      <c r="AM23" s="4"/>
      <c r="AN23" s="4"/>
      <c r="AO23" s="4"/>
      <c r="AP23" s="4"/>
      <c r="AQ23" s="4"/>
      <c r="AS23" s="4"/>
      <c r="AT23" s="4"/>
    </row>
    <row r="24" spans="3:46">
      <c r="C24" s="5">
        <v>1</v>
      </c>
      <c r="D24" s="6"/>
      <c r="E24" s="7"/>
      <c r="F24" s="7"/>
      <c r="G24" s="8"/>
      <c r="U24" s="4"/>
      <c r="V24" s="4">
        <f>SUM(V19:V23)</f>
        <v>0</v>
      </c>
      <c r="W24" s="4">
        <f t="shared" ref="W24" si="0">SUM(W19:W23)</f>
        <v>0</v>
      </c>
      <c r="X24" s="4"/>
      <c r="Y24" s="4"/>
      <c r="Z24" s="4">
        <f t="shared" ref="Z24:AA24" si="1">SUM(Z19:Z23)</f>
        <v>0</v>
      </c>
      <c r="AA24" s="4">
        <f t="shared" si="1"/>
        <v>0</v>
      </c>
      <c r="AB24" s="4"/>
      <c r="AC24" s="4"/>
      <c r="AD24" s="4">
        <f t="shared" ref="AD24:AE24" si="2">SUM(AD19:AD23)</f>
        <v>0</v>
      </c>
      <c r="AE24" s="4">
        <f t="shared" si="2"/>
        <v>0</v>
      </c>
      <c r="AI24" s="4"/>
      <c r="AJ24" s="4"/>
      <c r="AK24" s="4"/>
      <c r="AL24" s="4"/>
      <c r="AM24" s="4"/>
      <c r="AN24" s="4"/>
      <c r="AO24" s="4"/>
      <c r="AP24" s="4"/>
      <c r="AQ24" s="4"/>
      <c r="AS24" s="4"/>
      <c r="AT24" s="4"/>
    </row>
    <row r="25" spans="3:46">
      <c r="C25" s="5">
        <v>4</v>
      </c>
      <c r="D25" s="5"/>
      <c r="E25" s="6"/>
      <c r="F25" s="7"/>
      <c r="G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</row>
    <row r="26" spans="3:46">
      <c r="C26" s="5">
        <v>6</v>
      </c>
      <c r="D26" s="5"/>
      <c r="E26" s="5"/>
      <c r="F26" s="6"/>
      <c r="G26" s="4"/>
      <c r="I26" t="s">
        <v>19</v>
      </c>
      <c r="O26" t="s">
        <v>20</v>
      </c>
      <c r="U26" s="5" t="s">
        <v>5</v>
      </c>
      <c r="V26" s="5">
        <f>AG27</f>
        <v>1</v>
      </c>
      <c r="W26" s="5">
        <f>AG28</f>
        <v>4</v>
      </c>
      <c r="X26" s="4"/>
      <c r="Y26" s="5" t="s">
        <v>5</v>
      </c>
      <c r="Z26" s="5">
        <f>AG28</f>
        <v>4</v>
      </c>
      <c r="AA26" s="5">
        <f>AG29</f>
        <v>6</v>
      </c>
      <c r="AB26" s="4"/>
      <c r="AC26" s="5" t="s">
        <v>5</v>
      </c>
      <c r="AD26" s="5">
        <f>AG27</f>
        <v>1</v>
      </c>
      <c r="AE26" s="5">
        <f>AG29</f>
        <v>6</v>
      </c>
      <c r="AG26" s="4" t="s">
        <v>5</v>
      </c>
      <c r="AH26" s="4" t="s">
        <v>12</v>
      </c>
      <c r="AI26" s="4"/>
      <c r="AJ26" s="4"/>
      <c r="AK26" s="4"/>
      <c r="AL26" s="4"/>
      <c r="AM26" s="4"/>
      <c r="AN26" s="4"/>
      <c r="AO26" s="4"/>
      <c r="AP26" s="4"/>
      <c r="AQ26" s="4"/>
      <c r="AS26" s="4"/>
      <c r="AT26" s="4"/>
    </row>
    <row r="27" spans="3:46">
      <c r="U27" s="5" t="s">
        <v>13</v>
      </c>
      <c r="V27" s="5"/>
      <c r="W27" s="5"/>
      <c r="X27" s="4"/>
      <c r="Y27" s="5" t="s">
        <v>13</v>
      </c>
      <c r="Z27" s="5"/>
      <c r="AA27" s="5"/>
      <c r="AB27" s="4"/>
      <c r="AC27" s="5" t="s">
        <v>13</v>
      </c>
      <c r="AD27" s="5"/>
      <c r="AE27" s="5"/>
      <c r="AG27" s="4">
        <v>1</v>
      </c>
      <c r="AH27" s="4">
        <f>V32+AD32</f>
        <v>0</v>
      </c>
      <c r="AI27" s="4"/>
      <c r="AJ27" s="4"/>
      <c r="AK27" s="4"/>
      <c r="AL27" s="4"/>
      <c r="AM27" s="4"/>
      <c r="AN27" s="4"/>
      <c r="AO27" s="4"/>
      <c r="AP27" s="4"/>
      <c r="AQ27" s="4"/>
      <c r="AS27" s="4"/>
      <c r="AT27" s="4"/>
    </row>
    <row r="28" spans="3:46">
      <c r="I28" s="5" t="s">
        <v>21</v>
      </c>
      <c r="J28" s="5" t="s">
        <v>22</v>
      </c>
      <c r="K28" s="5" t="s">
        <v>23</v>
      </c>
      <c r="L28" s="5" t="s">
        <v>24</v>
      </c>
      <c r="M28" s="5" t="s">
        <v>12</v>
      </c>
      <c r="O28" s="10" t="s">
        <v>25</v>
      </c>
      <c r="P28" s="10" t="s">
        <v>22</v>
      </c>
      <c r="Q28" s="10" t="s">
        <v>23</v>
      </c>
      <c r="R28" s="10" t="s">
        <v>24</v>
      </c>
      <c r="S28" s="10" t="s">
        <v>12</v>
      </c>
      <c r="U28" s="5" t="s">
        <v>14</v>
      </c>
      <c r="V28" s="5"/>
      <c r="W28" s="5"/>
      <c r="X28" s="4"/>
      <c r="Y28" s="5" t="s">
        <v>14</v>
      </c>
      <c r="Z28" s="5"/>
      <c r="AA28" s="5"/>
      <c r="AB28" s="4"/>
      <c r="AC28" s="5" t="s">
        <v>14</v>
      </c>
      <c r="AD28" s="5"/>
      <c r="AE28" s="5"/>
      <c r="AG28" s="4">
        <v>4</v>
      </c>
      <c r="AH28" s="4">
        <f>W32+Z32</f>
        <v>0</v>
      </c>
      <c r="AI28" s="4"/>
      <c r="AJ28" s="4"/>
      <c r="AK28" s="4"/>
      <c r="AL28" s="4"/>
      <c r="AM28" s="4"/>
      <c r="AN28" s="4"/>
      <c r="AO28" s="4"/>
      <c r="AP28" s="4"/>
      <c r="AQ28" s="4"/>
    </row>
    <row r="29" spans="3:46">
      <c r="I29" s="5">
        <v>2</v>
      </c>
      <c r="J29" s="5">
        <v>2</v>
      </c>
      <c r="K29" s="5"/>
      <c r="L29" s="5"/>
      <c r="M29" s="5">
        <f>AH19</f>
        <v>0</v>
      </c>
      <c r="O29" s="3" cm="1">
        <f t="array" ref="O29:S31">IF(COUNTA(J29:J32)=0,"",_xlfn.LET(_xlpm.x,_xlfn._xlws.FILTER(I29:M32,J29:J32&lt;&gt;""),_xlfn.SORTBY(_xlpm.x,_xlfn.CHOOSECOLS(_xlpm.x,2),-1,_xlfn.CHOOSECOLS(_xlpm.x,3)-_xlfn.CHOOSECOLS(_xlpm.x,4),-1,_xlfn.CHOOSECOLS(_xlpm.x,5),-1)))</f>
        <v>2</v>
      </c>
      <c r="P29" s="3">
        <v>2</v>
      </c>
      <c r="Q29" s="3">
        <v>0</v>
      </c>
      <c r="R29" s="3">
        <v>0</v>
      </c>
      <c r="S29" s="3">
        <v>0</v>
      </c>
      <c r="U29" s="5" t="s">
        <v>15</v>
      </c>
      <c r="V29" s="5"/>
      <c r="W29" s="5"/>
      <c r="X29" s="4"/>
      <c r="Y29" s="5" t="s">
        <v>15</v>
      </c>
      <c r="Z29" s="5"/>
      <c r="AA29" s="5"/>
      <c r="AB29" s="4"/>
      <c r="AC29" s="5" t="s">
        <v>15</v>
      </c>
      <c r="AD29" s="5"/>
      <c r="AE29" s="5"/>
      <c r="AG29" s="4">
        <v>6</v>
      </c>
      <c r="AH29" s="4">
        <f>AA32+AE32</f>
        <v>0</v>
      </c>
      <c r="AI29" s="4"/>
      <c r="AJ29" s="4"/>
      <c r="AK29" s="4"/>
      <c r="AL29" s="4"/>
      <c r="AM29" s="4"/>
      <c r="AN29" s="4"/>
      <c r="AO29" s="4"/>
      <c r="AP29" s="4"/>
      <c r="AQ29" s="4"/>
    </row>
    <row r="30" spans="3:46">
      <c r="I30" s="5">
        <v>5</v>
      </c>
      <c r="J30" s="5">
        <v>1</v>
      </c>
      <c r="K30" s="5"/>
      <c r="L30" s="5"/>
      <c r="M30" s="5">
        <f t="shared" ref="M30:M31" si="3">AH20</f>
        <v>0</v>
      </c>
      <c r="O30" s="3">
        <v>5</v>
      </c>
      <c r="P30" s="3">
        <v>1</v>
      </c>
      <c r="Q30" s="3">
        <v>0</v>
      </c>
      <c r="R30" s="3">
        <v>0</v>
      </c>
      <c r="S30" s="3">
        <v>0</v>
      </c>
      <c r="U30" s="5" t="s">
        <v>17</v>
      </c>
      <c r="V30" s="5"/>
      <c r="W30" s="5"/>
      <c r="X30" s="4"/>
      <c r="Y30" s="5" t="s">
        <v>17</v>
      </c>
      <c r="Z30" s="5"/>
      <c r="AA30" s="5"/>
      <c r="AB30" s="4"/>
      <c r="AC30" s="5" t="s">
        <v>17</v>
      </c>
      <c r="AD30" s="5"/>
      <c r="AE30" s="5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3:46">
      <c r="I31" s="5">
        <v>10</v>
      </c>
      <c r="J31" s="5">
        <v>0</v>
      </c>
      <c r="K31" s="5"/>
      <c r="L31" s="5"/>
      <c r="M31" s="5">
        <f t="shared" si="3"/>
        <v>0</v>
      </c>
      <c r="O31" s="3">
        <v>10</v>
      </c>
      <c r="P31" s="3">
        <v>0</v>
      </c>
      <c r="Q31" s="3">
        <v>0</v>
      </c>
      <c r="R31" s="3">
        <v>0</v>
      </c>
      <c r="S31" s="3">
        <v>0</v>
      </c>
      <c r="U31" s="5" t="s">
        <v>18</v>
      </c>
      <c r="V31" s="5"/>
      <c r="W31" s="5"/>
      <c r="X31" s="4"/>
      <c r="Y31" s="5" t="s">
        <v>18</v>
      </c>
      <c r="Z31" s="5"/>
      <c r="AA31" s="5"/>
      <c r="AB31" s="4"/>
      <c r="AC31" s="5" t="s">
        <v>18</v>
      </c>
      <c r="AD31" s="5"/>
      <c r="AE31" s="5"/>
    </row>
    <row r="32" spans="3:46">
      <c r="O32" s="9"/>
      <c r="P32" s="9"/>
      <c r="Q32" s="9"/>
      <c r="R32" s="9"/>
      <c r="S32" s="9"/>
      <c r="U32" s="4"/>
      <c r="V32" s="4">
        <f>SUM(V27:V31)</f>
        <v>0</v>
      </c>
      <c r="W32" s="4">
        <f t="shared" ref="W32" si="4">SUM(W27:W31)</f>
        <v>0</v>
      </c>
      <c r="X32" s="4"/>
      <c r="Y32" s="4"/>
      <c r="Z32" s="4">
        <f t="shared" ref="Z32:AA32" si="5">SUM(Z27:Z31)</f>
        <v>0</v>
      </c>
      <c r="AA32" s="4">
        <f t="shared" si="5"/>
        <v>0</v>
      </c>
      <c r="AB32" s="4"/>
      <c r="AC32" s="4"/>
      <c r="AD32" s="4">
        <f t="shared" ref="AD32:AE32" si="6">SUM(AD27:AD31)</f>
        <v>0</v>
      </c>
      <c r="AE32" s="4">
        <f t="shared" si="6"/>
        <v>0</v>
      </c>
    </row>
    <row r="33" spans="3:46">
      <c r="I33" s="5" t="s">
        <v>26</v>
      </c>
      <c r="J33" s="5" t="s">
        <v>22</v>
      </c>
      <c r="K33" s="5" t="s">
        <v>23</v>
      </c>
      <c r="L33" s="5" t="s">
        <v>24</v>
      </c>
      <c r="M33" s="5" t="s">
        <v>12</v>
      </c>
      <c r="O33" s="10" t="s">
        <v>25</v>
      </c>
      <c r="P33" s="10" t="s">
        <v>22</v>
      </c>
      <c r="Q33" s="10" t="s">
        <v>23</v>
      </c>
      <c r="R33" s="10" t="s">
        <v>24</v>
      </c>
      <c r="S33" s="10" t="s">
        <v>12</v>
      </c>
    </row>
    <row r="34" spans="3:46">
      <c r="I34" s="5">
        <v>1</v>
      </c>
      <c r="J34" s="5">
        <v>1</v>
      </c>
      <c r="K34" s="5">
        <v>6</v>
      </c>
      <c r="L34" s="5">
        <v>4</v>
      </c>
      <c r="M34" s="5">
        <f>AH27</f>
        <v>0</v>
      </c>
      <c r="O34" s="3" cm="1">
        <f t="array" ref="O34:S36">IF(COUNTA(J34:J37)=0,"",_xlfn.LET(_xlpm.x,_xlfn._xlws.FILTER(I34:M37,J34:J37&lt;&gt;""),_xlfn.SORTBY(_xlpm.x,_xlfn.CHOOSECOLS(_xlpm.x,2),-1,_xlfn.CHOOSECOLS(_xlpm.x,3)-_xlfn.CHOOSECOLS(_xlpm.x,4),-1,_xlfn.CHOOSECOLS(_xlpm.x,5),-1)))</f>
        <v>4</v>
      </c>
      <c r="P34" s="3">
        <v>1</v>
      </c>
      <c r="Q34" s="3">
        <v>6</v>
      </c>
      <c r="R34" s="3">
        <v>3</v>
      </c>
      <c r="S34" s="3">
        <v>0</v>
      </c>
      <c r="AS34" s="4"/>
      <c r="AT34" s="4" t="s">
        <v>12</v>
      </c>
    </row>
    <row r="35" spans="3:46">
      <c r="I35" s="5">
        <v>4</v>
      </c>
      <c r="J35" s="5">
        <v>1</v>
      </c>
      <c r="K35" s="5">
        <v>6</v>
      </c>
      <c r="L35" s="5">
        <v>3</v>
      </c>
      <c r="M35" s="5">
        <f t="shared" ref="M35:M36" si="7">AH28</f>
        <v>0</v>
      </c>
      <c r="O35" s="3">
        <v>1</v>
      </c>
      <c r="P35" s="3">
        <v>1</v>
      </c>
      <c r="Q35" s="3">
        <v>6</v>
      </c>
      <c r="R35" s="3">
        <v>4</v>
      </c>
      <c r="S35" s="3">
        <v>0</v>
      </c>
      <c r="U35" s="5" t="s">
        <v>5</v>
      </c>
      <c r="V35" s="5">
        <f>AS35</f>
        <v>3</v>
      </c>
      <c r="W35" s="5">
        <f>AS36</f>
        <v>7</v>
      </c>
      <c r="X35" s="4"/>
      <c r="Y35" s="5" t="s">
        <v>5</v>
      </c>
      <c r="Z35" s="5">
        <f>AS37</f>
        <v>8</v>
      </c>
      <c r="AA35" s="5">
        <f>AS38</f>
        <v>9</v>
      </c>
      <c r="AB35" s="4"/>
      <c r="AC35" s="5" t="s">
        <v>5</v>
      </c>
      <c r="AD35" s="5">
        <f>AS35</f>
        <v>3</v>
      </c>
      <c r="AE35" s="5">
        <f>AS37</f>
        <v>8</v>
      </c>
      <c r="AF35" s="4"/>
      <c r="AG35" s="5" t="s">
        <v>5</v>
      </c>
      <c r="AH35" s="5">
        <f>AS36</f>
        <v>7</v>
      </c>
      <c r="AI35" s="5">
        <f>AS38</f>
        <v>9</v>
      </c>
      <c r="AJ35" s="4"/>
      <c r="AK35" s="5" t="s">
        <v>5</v>
      </c>
      <c r="AL35" s="5">
        <f>AS35</f>
        <v>3</v>
      </c>
      <c r="AM35" s="5">
        <f>AS38</f>
        <v>9</v>
      </c>
      <c r="AN35" s="4"/>
      <c r="AO35" s="5" t="s">
        <v>5</v>
      </c>
      <c r="AP35" s="5">
        <f>AS36</f>
        <v>7</v>
      </c>
      <c r="AQ35" s="5">
        <f>AS37</f>
        <v>8</v>
      </c>
      <c r="AS35" s="4">
        <v>3</v>
      </c>
      <c r="AT35" s="4">
        <f>V41+AD41+AL41</f>
        <v>0</v>
      </c>
    </row>
    <row r="36" spans="3:46">
      <c r="I36" s="5">
        <v>6</v>
      </c>
      <c r="J36" s="5">
        <v>1</v>
      </c>
      <c r="K36" s="5">
        <v>6</v>
      </c>
      <c r="L36" s="5">
        <v>5</v>
      </c>
      <c r="M36" s="5">
        <f t="shared" si="7"/>
        <v>0</v>
      </c>
      <c r="O36" s="3">
        <v>6</v>
      </c>
      <c r="P36" s="3">
        <v>1</v>
      </c>
      <c r="Q36" s="3">
        <v>6</v>
      </c>
      <c r="R36" s="3">
        <v>5</v>
      </c>
      <c r="S36" s="3">
        <v>0</v>
      </c>
      <c r="U36" s="5" t="s">
        <v>13</v>
      </c>
      <c r="V36" s="5"/>
      <c r="W36" s="5"/>
      <c r="X36" s="4"/>
      <c r="Y36" s="5" t="s">
        <v>13</v>
      </c>
      <c r="Z36" s="5"/>
      <c r="AA36" s="5"/>
      <c r="AB36" s="4"/>
      <c r="AC36" s="5" t="s">
        <v>13</v>
      </c>
      <c r="AD36" s="5"/>
      <c r="AE36" s="5"/>
      <c r="AF36" s="4"/>
      <c r="AG36" s="5" t="s">
        <v>13</v>
      </c>
      <c r="AH36" s="5"/>
      <c r="AI36" s="5"/>
      <c r="AJ36" s="4"/>
      <c r="AK36" s="5" t="s">
        <v>13</v>
      </c>
      <c r="AL36" s="5"/>
      <c r="AM36" s="5"/>
      <c r="AN36" s="4"/>
      <c r="AO36" s="5" t="s">
        <v>13</v>
      </c>
      <c r="AP36" s="5"/>
      <c r="AQ36" s="5"/>
      <c r="AS36" s="4">
        <v>7</v>
      </c>
      <c r="AT36" s="4">
        <f>W41+AH41+AP41</f>
        <v>0</v>
      </c>
    </row>
    <row r="37" spans="3:46">
      <c r="O37" s="9"/>
      <c r="P37" s="9"/>
      <c r="Q37" s="9"/>
      <c r="R37" s="9"/>
      <c r="S37" s="9"/>
      <c r="U37" s="5" t="s">
        <v>14</v>
      </c>
      <c r="V37" s="5"/>
      <c r="W37" s="5"/>
      <c r="X37" s="4"/>
      <c r="Y37" s="5" t="s">
        <v>14</v>
      </c>
      <c r="Z37" s="5"/>
      <c r="AA37" s="5"/>
      <c r="AB37" s="4"/>
      <c r="AC37" s="5" t="s">
        <v>14</v>
      </c>
      <c r="AD37" s="5"/>
      <c r="AE37" s="5"/>
      <c r="AF37" s="4"/>
      <c r="AG37" s="5" t="s">
        <v>14</v>
      </c>
      <c r="AH37" s="5"/>
      <c r="AI37" s="5"/>
      <c r="AJ37" s="4"/>
      <c r="AK37" s="5" t="s">
        <v>14</v>
      </c>
      <c r="AL37" s="5"/>
      <c r="AM37" s="5"/>
      <c r="AN37" s="4"/>
      <c r="AO37" s="5" t="s">
        <v>14</v>
      </c>
      <c r="AP37" s="5"/>
      <c r="AQ37" s="5"/>
      <c r="AS37" s="4">
        <v>8</v>
      </c>
      <c r="AT37" s="4">
        <f>Z41+AE41+AQ41</f>
        <v>0</v>
      </c>
    </row>
    <row r="38" spans="3:46">
      <c r="C38" s="4"/>
      <c r="D38" s="4"/>
      <c r="E38" s="4"/>
      <c r="F38" s="4"/>
      <c r="G38" s="4"/>
      <c r="I38" s="5" t="s">
        <v>25</v>
      </c>
      <c r="J38" s="5" t="s">
        <v>22</v>
      </c>
      <c r="K38" s="5" t="s">
        <v>23</v>
      </c>
      <c r="L38" s="5" t="s">
        <v>24</v>
      </c>
      <c r="M38" s="5" t="s">
        <v>12</v>
      </c>
      <c r="O38" s="10" t="s">
        <v>25</v>
      </c>
      <c r="P38" s="10" t="s">
        <v>22</v>
      </c>
      <c r="Q38" s="10" t="s">
        <v>23</v>
      </c>
      <c r="R38" s="10" t="s">
        <v>24</v>
      </c>
      <c r="S38" s="10" t="s">
        <v>12</v>
      </c>
      <c r="U38" s="5" t="s">
        <v>15</v>
      </c>
      <c r="V38" s="5"/>
      <c r="W38" s="5"/>
      <c r="X38" s="4"/>
      <c r="Y38" s="5" t="s">
        <v>15</v>
      </c>
      <c r="Z38" s="5"/>
      <c r="AA38" s="5"/>
      <c r="AB38" s="4"/>
      <c r="AC38" s="5" t="s">
        <v>15</v>
      </c>
      <c r="AD38" s="5"/>
      <c r="AE38" s="5"/>
      <c r="AF38" s="4"/>
      <c r="AG38" s="5" t="s">
        <v>15</v>
      </c>
      <c r="AH38" s="5"/>
      <c r="AI38" s="5"/>
      <c r="AJ38" s="4"/>
      <c r="AK38" s="5" t="s">
        <v>15</v>
      </c>
      <c r="AL38" s="5"/>
      <c r="AM38" s="5"/>
      <c r="AN38" s="4"/>
      <c r="AO38" s="5" t="s">
        <v>15</v>
      </c>
      <c r="AP38" s="5"/>
      <c r="AQ38" s="5"/>
      <c r="AS38" s="4">
        <v>9</v>
      </c>
      <c r="AT38" s="4">
        <f>AA41+AI41+AM41</f>
        <v>0</v>
      </c>
    </row>
    <row r="39" spans="3:46">
      <c r="C39" s="4"/>
      <c r="D39" s="4"/>
      <c r="E39" s="4"/>
      <c r="F39" s="4"/>
      <c r="G39" s="4"/>
      <c r="I39" s="5">
        <v>3</v>
      </c>
      <c r="J39" s="5">
        <v>2</v>
      </c>
      <c r="K39" s="5">
        <v>6</v>
      </c>
      <c r="L39" s="5">
        <v>3</v>
      </c>
      <c r="M39" s="5">
        <f>AT35</f>
        <v>0</v>
      </c>
      <c r="O39" s="3" cm="1">
        <f t="array" ref="O39:S42">IF(COUNTA(J39:J42)=0,"",_xlfn.LET(_xlpm.x,_xlfn._xlws.FILTER(I39:M42,J39:J42&lt;&gt;""),_xlfn.SORTBY(_xlpm.x,_xlfn.CHOOSECOLS(_xlpm.x,2),-1,_xlfn.CHOOSECOLS(_xlpm.x,3)-_xlfn.CHOOSECOLS(_xlpm.x,4),-1,_xlfn.CHOOSECOLS(_xlpm.x,5),-1)))</f>
        <v>8</v>
      </c>
      <c r="P39" s="3">
        <v>2</v>
      </c>
      <c r="Q39" s="3">
        <v>8</v>
      </c>
      <c r="R39" s="3">
        <v>2</v>
      </c>
      <c r="S39" s="3">
        <v>0</v>
      </c>
      <c r="U39" s="5" t="s">
        <v>17</v>
      </c>
      <c r="V39" s="5"/>
      <c r="W39" s="5"/>
      <c r="X39" s="4"/>
      <c r="Y39" s="5" t="s">
        <v>17</v>
      </c>
      <c r="Z39" s="5"/>
      <c r="AA39" s="5"/>
      <c r="AB39" s="4"/>
      <c r="AC39" s="5" t="s">
        <v>17</v>
      </c>
      <c r="AD39" s="5"/>
      <c r="AE39" s="5"/>
      <c r="AF39" s="4"/>
      <c r="AG39" s="5" t="s">
        <v>17</v>
      </c>
      <c r="AH39" s="5"/>
      <c r="AI39" s="5"/>
      <c r="AJ39" s="4"/>
      <c r="AK39" s="5" t="s">
        <v>17</v>
      </c>
      <c r="AL39" s="5"/>
      <c r="AM39" s="5"/>
      <c r="AN39" s="4"/>
      <c r="AO39" s="5" t="s">
        <v>17</v>
      </c>
      <c r="AP39" s="5"/>
      <c r="AQ39" s="5"/>
      <c r="AS39" s="4"/>
      <c r="AT39" s="4"/>
    </row>
    <row r="40" spans="3:46">
      <c r="C40" s="4"/>
      <c r="D40" s="4"/>
      <c r="E40" s="4"/>
      <c r="F40" s="4"/>
      <c r="G40" s="4"/>
      <c r="I40" s="5">
        <v>7</v>
      </c>
      <c r="J40" s="5">
        <v>2</v>
      </c>
      <c r="K40" s="5">
        <v>6</v>
      </c>
      <c r="L40" s="5">
        <v>3</v>
      </c>
      <c r="M40" s="5">
        <f t="shared" ref="M40:M42" si="8">AT36</f>
        <v>0</v>
      </c>
      <c r="O40" s="3">
        <v>3</v>
      </c>
      <c r="P40" s="3">
        <v>2</v>
      </c>
      <c r="Q40" s="3">
        <v>6</v>
      </c>
      <c r="R40" s="3">
        <v>3</v>
      </c>
      <c r="S40" s="3">
        <v>0</v>
      </c>
      <c r="U40" s="5" t="s">
        <v>18</v>
      </c>
      <c r="V40" s="5"/>
      <c r="W40" s="5"/>
      <c r="X40" s="4"/>
      <c r="Y40" s="5" t="s">
        <v>18</v>
      </c>
      <c r="Z40" s="5"/>
      <c r="AA40" s="5"/>
      <c r="AB40" s="4"/>
      <c r="AC40" s="5" t="s">
        <v>18</v>
      </c>
      <c r="AD40" s="5"/>
      <c r="AE40" s="5"/>
      <c r="AF40" s="4"/>
      <c r="AG40" s="5" t="s">
        <v>18</v>
      </c>
      <c r="AH40" s="5"/>
      <c r="AI40" s="5"/>
      <c r="AJ40" s="4"/>
      <c r="AK40" s="5" t="s">
        <v>18</v>
      </c>
      <c r="AL40" s="5"/>
      <c r="AM40" s="5"/>
      <c r="AN40" s="4"/>
      <c r="AO40" s="5" t="s">
        <v>18</v>
      </c>
      <c r="AP40" s="5"/>
      <c r="AQ40" s="5"/>
      <c r="AS40" s="4"/>
      <c r="AT40" s="4"/>
    </row>
    <row r="41" spans="3:46">
      <c r="C41" s="4"/>
      <c r="D41" s="4"/>
      <c r="E41" s="4"/>
      <c r="F41" s="4"/>
      <c r="G41" s="4"/>
      <c r="I41" s="5">
        <v>8</v>
      </c>
      <c r="J41" s="5">
        <v>2</v>
      </c>
      <c r="K41" s="5">
        <v>8</v>
      </c>
      <c r="L41" s="5">
        <v>2</v>
      </c>
      <c r="M41" s="5">
        <f t="shared" si="8"/>
        <v>0</v>
      </c>
      <c r="O41" s="3">
        <v>7</v>
      </c>
      <c r="P41" s="3">
        <v>2</v>
      </c>
      <c r="Q41" s="3">
        <v>6</v>
      </c>
      <c r="R41" s="3">
        <v>3</v>
      </c>
      <c r="S41" s="3">
        <v>0</v>
      </c>
      <c r="U41" s="4"/>
      <c r="V41" s="4">
        <f>SUM(V36:V40)</f>
        <v>0</v>
      </c>
      <c r="W41" s="4">
        <f t="shared" ref="W41:AQ41" si="9">SUM(W36:W40)</f>
        <v>0</v>
      </c>
      <c r="X41" s="4"/>
      <c r="Y41" s="4"/>
      <c r="Z41" s="4">
        <f t="shared" si="9"/>
        <v>0</v>
      </c>
      <c r="AA41" s="4">
        <f t="shared" si="9"/>
        <v>0</v>
      </c>
      <c r="AB41" s="4"/>
      <c r="AC41" s="4"/>
      <c r="AD41" s="4">
        <f t="shared" si="9"/>
        <v>0</v>
      </c>
      <c r="AE41" s="4">
        <f t="shared" si="9"/>
        <v>0</v>
      </c>
      <c r="AF41" s="4"/>
      <c r="AG41" s="4"/>
      <c r="AH41" s="4">
        <f t="shared" si="9"/>
        <v>0</v>
      </c>
      <c r="AI41" s="4">
        <f t="shared" si="9"/>
        <v>0</v>
      </c>
      <c r="AJ41" s="4"/>
      <c r="AK41" s="4"/>
      <c r="AL41" s="4">
        <f t="shared" si="9"/>
        <v>0</v>
      </c>
      <c r="AM41" s="4">
        <f t="shared" si="9"/>
        <v>0</v>
      </c>
      <c r="AN41" s="4"/>
      <c r="AO41" s="4"/>
      <c r="AP41" s="4">
        <f t="shared" si="9"/>
        <v>0</v>
      </c>
      <c r="AQ41" s="4">
        <f t="shared" si="9"/>
        <v>0</v>
      </c>
      <c r="AS41" s="4"/>
      <c r="AT41" s="4"/>
    </row>
    <row r="42" spans="3:46">
      <c r="C42" s="4"/>
      <c r="D42" s="4"/>
      <c r="E42" s="4"/>
      <c r="F42" s="4"/>
      <c r="G42" s="4"/>
      <c r="I42" s="5">
        <v>9</v>
      </c>
      <c r="J42" s="5">
        <v>0</v>
      </c>
      <c r="K42" s="5">
        <v>0</v>
      </c>
      <c r="L42" s="5">
        <v>9</v>
      </c>
      <c r="M42" s="5">
        <f t="shared" si="8"/>
        <v>0</v>
      </c>
      <c r="N42" s="4"/>
      <c r="O42" s="3">
        <v>9</v>
      </c>
      <c r="P42" s="3">
        <v>0</v>
      </c>
      <c r="Q42" s="3">
        <v>0</v>
      </c>
      <c r="R42" s="3">
        <v>9</v>
      </c>
      <c r="S42" s="3">
        <v>0</v>
      </c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4" spans="3:46">
      <c r="C44" t="s">
        <v>27</v>
      </c>
    </row>
    <row r="45" spans="3:46">
      <c r="C45" s="5" t="s">
        <v>28</v>
      </c>
      <c r="D45" s="20">
        <v>1</v>
      </c>
      <c r="E45" s="21"/>
      <c r="F45" s="20">
        <v>2</v>
      </c>
      <c r="G45" s="21"/>
      <c r="H45" s="20">
        <v>3</v>
      </c>
      <c r="I45" s="21"/>
      <c r="J45" s="4"/>
      <c r="K45" s="5" t="s">
        <v>29</v>
      </c>
      <c r="L45" s="20">
        <v>1</v>
      </c>
      <c r="M45" s="21"/>
      <c r="N45" s="20">
        <v>2</v>
      </c>
      <c r="O45" s="21"/>
      <c r="P45" s="20">
        <v>3</v>
      </c>
      <c r="Q45" s="21"/>
    </row>
    <row r="46" spans="3:46">
      <c r="C46" s="5"/>
      <c r="D46" s="5" t="s">
        <v>21</v>
      </c>
      <c r="E46" s="5" t="s">
        <v>30</v>
      </c>
      <c r="F46" s="5" t="s">
        <v>21</v>
      </c>
      <c r="G46" s="5" t="s">
        <v>30</v>
      </c>
      <c r="H46" s="5" t="s">
        <v>21</v>
      </c>
      <c r="I46" s="5" t="s">
        <v>30</v>
      </c>
      <c r="J46" s="4"/>
      <c r="K46" s="5"/>
      <c r="L46" s="5" t="s">
        <v>28</v>
      </c>
      <c r="M46" s="5" t="s">
        <v>31</v>
      </c>
      <c r="N46" s="5" t="s">
        <v>28</v>
      </c>
      <c r="O46" s="5" t="s">
        <v>31</v>
      </c>
      <c r="P46" s="5" t="s">
        <v>28</v>
      </c>
      <c r="Q46" s="5" t="s">
        <v>31</v>
      </c>
    </row>
    <row r="47" spans="3:46">
      <c r="C47" s="5" t="s">
        <v>13</v>
      </c>
      <c r="D47" s="5"/>
      <c r="E47" s="5"/>
      <c r="F47" s="5"/>
      <c r="G47" s="5"/>
      <c r="H47" s="5"/>
      <c r="I47" s="5"/>
      <c r="J47" s="4"/>
      <c r="K47" s="5" t="s">
        <v>13</v>
      </c>
      <c r="L47" s="5"/>
      <c r="M47" s="5"/>
      <c r="N47" s="5"/>
      <c r="O47" s="5"/>
      <c r="P47" s="5"/>
      <c r="Q47" s="5"/>
    </row>
    <row r="48" spans="3:46">
      <c r="C48" s="5" t="s">
        <v>14</v>
      </c>
      <c r="D48" s="5"/>
      <c r="E48" s="5"/>
      <c r="F48" s="5"/>
      <c r="G48" s="5"/>
      <c r="H48" s="5"/>
      <c r="I48" s="5"/>
      <c r="J48" s="4"/>
      <c r="K48" s="5" t="s">
        <v>14</v>
      </c>
      <c r="L48" s="5"/>
      <c r="M48" s="5"/>
      <c r="N48" s="5"/>
      <c r="O48" s="5"/>
      <c r="P48" s="5"/>
      <c r="Q48" s="5"/>
    </row>
    <row r="49" spans="3:17">
      <c r="C49" s="5" t="s">
        <v>15</v>
      </c>
      <c r="D49" s="5"/>
      <c r="E49" s="5"/>
      <c r="F49" s="5"/>
      <c r="G49" s="5"/>
      <c r="H49" s="5"/>
      <c r="I49" s="5"/>
      <c r="J49" s="4"/>
      <c r="K49" s="5" t="s">
        <v>15</v>
      </c>
      <c r="L49" s="5"/>
      <c r="M49" s="5"/>
      <c r="N49" s="5"/>
      <c r="O49" s="5"/>
      <c r="P49" s="5"/>
      <c r="Q49" s="5"/>
    </row>
    <row r="50" spans="3:17">
      <c r="C50" s="5" t="s">
        <v>17</v>
      </c>
      <c r="D50" s="5"/>
      <c r="E50" s="5"/>
      <c r="F50" s="5"/>
      <c r="G50" s="5"/>
      <c r="H50" s="5"/>
      <c r="I50" s="5"/>
      <c r="J50" s="4"/>
      <c r="K50" s="5" t="s">
        <v>17</v>
      </c>
      <c r="L50" s="5"/>
      <c r="M50" s="5"/>
      <c r="N50" s="5"/>
      <c r="O50" s="5"/>
      <c r="P50" s="5"/>
      <c r="Q50" s="5"/>
    </row>
    <row r="51" spans="3:17">
      <c r="C51" s="5" t="s">
        <v>18</v>
      </c>
      <c r="D51" s="5"/>
      <c r="E51" s="5"/>
      <c r="F51" s="5"/>
      <c r="G51" s="5"/>
      <c r="H51" s="5"/>
      <c r="I51" s="5"/>
      <c r="J51" s="4"/>
      <c r="K51" s="5" t="s">
        <v>18</v>
      </c>
      <c r="L51" s="5"/>
      <c r="M51" s="5"/>
      <c r="N51" s="5"/>
      <c r="O51" s="5"/>
      <c r="P51" s="5"/>
      <c r="Q51" s="5"/>
    </row>
    <row r="52" spans="3:17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3:17">
      <c r="C53" s="5" t="s">
        <v>31</v>
      </c>
      <c r="D53" s="20">
        <v>1</v>
      </c>
      <c r="E53" s="21"/>
      <c r="F53" s="20">
        <v>2</v>
      </c>
      <c r="G53" s="21"/>
      <c r="H53" s="20">
        <v>3</v>
      </c>
      <c r="I53" s="21"/>
      <c r="J53" s="4"/>
      <c r="K53" s="4"/>
      <c r="L53" s="4"/>
      <c r="M53" s="4"/>
      <c r="N53" s="4"/>
      <c r="O53" s="4"/>
      <c r="P53" s="4"/>
      <c r="Q53" s="4"/>
    </row>
    <row r="54" spans="3:17">
      <c r="C54" s="5"/>
      <c r="D54" s="5" t="s">
        <v>32</v>
      </c>
      <c r="E54" s="5" t="s">
        <v>33</v>
      </c>
      <c r="F54" s="5" t="s">
        <v>32</v>
      </c>
      <c r="G54" s="5" t="s">
        <v>33</v>
      </c>
      <c r="H54" s="5" t="s">
        <v>32</v>
      </c>
      <c r="I54" s="5" t="s">
        <v>33</v>
      </c>
      <c r="J54" s="4"/>
      <c r="K54" s="4"/>
      <c r="L54" s="4"/>
      <c r="M54" s="4"/>
      <c r="N54" s="4"/>
      <c r="O54" s="4"/>
      <c r="P54" s="4"/>
      <c r="Q54" s="4"/>
    </row>
    <row r="55" spans="3:17">
      <c r="C55" s="5" t="s">
        <v>13</v>
      </c>
      <c r="D55" s="5"/>
      <c r="E55" s="5"/>
      <c r="F55" s="5"/>
      <c r="G55" s="5"/>
      <c r="H55" s="5"/>
      <c r="I55" s="5"/>
      <c r="J55" s="4"/>
      <c r="K55" s="4"/>
      <c r="L55" s="4"/>
      <c r="M55" s="4"/>
      <c r="N55" s="4"/>
      <c r="O55" s="4"/>
      <c r="P55" s="4"/>
      <c r="Q55" s="4"/>
    </row>
    <row r="56" spans="3:17">
      <c r="C56" s="5" t="s">
        <v>14</v>
      </c>
      <c r="D56" s="5"/>
      <c r="E56" s="5"/>
      <c r="F56" s="5"/>
      <c r="G56" s="5"/>
      <c r="H56" s="5"/>
      <c r="I56" s="5"/>
      <c r="J56" s="4"/>
      <c r="K56" s="4"/>
      <c r="L56" s="4"/>
      <c r="M56" s="4"/>
      <c r="N56" s="4"/>
      <c r="O56" s="4"/>
      <c r="P56" s="4"/>
      <c r="Q56" s="4"/>
    </row>
    <row r="57" spans="3:17">
      <c r="C57" s="5" t="s">
        <v>15</v>
      </c>
      <c r="D57" s="5"/>
      <c r="E57" s="5"/>
      <c r="F57" s="5"/>
      <c r="G57" s="5"/>
      <c r="H57" s="5"/>
      <c r="I57" s="5"/>
      <c r="J57" s="4"/>
      <c r="K57" s="4"/>
      <c r="L57" s="4"/>
      <c r="M57" s="4"/>
      <c r="N57" s="4"/>
      <c r="O57" s="4"/>
      <c r="P57" s="4"/>
      <c r="Q57" s="4"/>
    </row>
    <row r="58" spans="3:17">
      <c r="C58" s="5" t="s">
        <v>17</v>
      </c>
      <c r="D58" s="5"/>
      <c r="E58" s="5"/>
      <c r="F58" s="5"/>
      <c r="G58" s="5"/>
      <c r="H58" s="5"/>
      <c r="I58" s="5"/>
      <c r="J58" s="4"/>
      <c r="K58" s="4"/>
      <c r="L58" s="4"/>
      <c r="M58" s="4"/>
      <c r="N58" s="4"/>
      <c r="O58" s="4"/>
      <c r="P58" s="4"/>
      <c r="Q58" s="4"/>
    </row>
    <row r="59" spans="3:17">
      <c r="C59" s="5" t="s">
        <v>18</v>
      </c>
      <c r="D59" s="5"/>
      <c r="E59" s="5"/>
      <c r="F59" s="5"/>
      <c r="G59" s="5"/>
      <c r="H59" s="5"/>
      <c r="I59" s="5"/>
      <c r="J59" s="4"/>
      <c r="K59" s="4"/>
      <c r="L59" s="4"/>
      <c r="M59" s="4"/>
      <c r="N59" s="4"/>
      <c r="O59" s="4"/>
      <c r="P59" s="4"/>
      <c r="Q59" s="4"/>
    </row>
    <row r="75" spans="5:27">
      <c r="H75" s="4"/>
      <c r="I75" s="4"/>
      <c r="J75" s="4"/>
      <c r="K75" s="4"/>
      <c r="L75" s="4"/>
    </row>
    <row r="76" spans="5:27">
      <c r="H76" s="4"/>
      <c r="I76" s="4"/>
      <c r="J76" s="4"/>
      <c r="K76" s="4"/>
      <c r="L76" s="4"/>
    </row>
    <row r="77" spans="5:27">
      <c r="E77" s="2"/>
      <c r="F77" s="2"/>
      <c r="H77" s="4"/>
      <c r="I77" s="4"/>
      <c r="J77" s="4"/>
      <c r="K77" s="4"/>
      <c r="L77" s="4"/>
    </row>
    <row r="78" spans="5:27">
      <c r="F78" s="2"/>
      <c r="H78" s="4"/>
      <c r="I78" s="4"/>
      <c r="J78" s="4"/>
      <c r="K78" s="4"/>
      <c r="L78" s="4"/>
    </row>
    <row r="79" spans="5:27">
      <c r="H79" s="4"/>
      <c r="I79" s="4"/>
      <c r="J79" s="4"/>
      <c r="K79" s="4"/>
      <c r="L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Z79" s="4"/>
      <c r="AA79" s="4"/>
    </row>
    <row r="80" spans="5:27">
      <c r="H80" s="4"/>
      <c r="I80" s="4"/>
      <c r="J80" s="4"/>
      <c r="K80" s="4"/>
      <c r="L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Z80" s="4"/>
      <c r="AA80" s="4"/>
    </row>
    <row r="81" spans="5:27">
      <c r="H81" s="4"/>
      <c r="I81" s="4"/>
      <c r="J81" s="4"/>
      <c r="K81" s="4"/>
      <c r="L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Z81" s="4"/>
      <c r="AA81" s="4"/>
    </row>
    <row r="82" spans="5:27">
      <c r="H82" s="4"/>
      <c r="I82" s="4"/>
      <c r="J82" s="4"/>
      <c r="K82" s="4"/>
      <c r="L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Z82" s="4"/>
      <c r="AA82" s="4"/>
    </row>
    <row r="83" spans="5:27">
      <c r="E83" s="2"/>
      <c r="F83" s="2"/>
      <c r="H83" s="4"/>
      <c r="I83" s="4"/>
      <c r="J83" s="4"/>
      <c r="K83" s="4"/>
      <c r="L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Z83" s="4"/>
      <c r="AA83" s="4"/>
    </row>
    <row r="84" spans="5:27">
      <c r="F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5:27"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7" spans="5:27"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Z87" s="4"/>
      <c r="AA87" s="4"/>
    </row>
    <row r="88" spans="5:27"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Z88" s="4"/>
      <c r="AA88" s="4"/>
    </row>
    <row r="89" spans="5:27"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Z89" s="4"/>
      <c r="AA89" s="4"/>
    </row>
    <row r="90" spans="5:27"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Z90" s="4"/>
      <c r="AA90" s="4"/>
    </row>
    <row r="91" spans="5:27"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Z91" s="4"/>
      <c r="AA91" s="4"/>
    </row>
    <row r="92" spans="5:27"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5:27"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</sheetData>
  <sheetProtection algorithmName="SHA-512" hashValue="N4bU3qCl5i9jY1ccPfrGNQ180cuZmBUz9/+zju04TB2myJwM9K5DBw89ld9/7XICmxDXeLf4HeH90F09sQy3fQ==" saltValue="7bpLPUa0qOe2T7gfs3ACTQ==" spinCount="100000" sheet="1" objects="1" scenarios="1"/>
  <mergeCells count="9">
    <mergeCell ref="L45:M45"/>
    <mergeCell ref="N45:O45"/>
    <mergeCell ref="P45:Q45"/>
    <mergeCell ref="D53:E53"/>
    <mergeCell ref="F53:G53"/>
    <mergeCell ref="H53:I53"/>
    <mergeCell ref="D45:E45"/>
    <mergeCell ref="F45:G45"/>
    <mergeCell ref="H45:I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5855-7688-4D9C-9193-ACA481BE2E89}">
  <dimension ref="A7:J32"/>
  <sheetViews>
    <sheetView topLeftCell="A6" zoomScale="130" zoomScaleNormal="130" workbookViewId="0">
      <selection activeCell="N16" sqref="N16"/>
    </sheetView>
  </sheetViews>
  <sheetFormatPr defaultRowHeight="14.45"/>
  <sheetData>
    <row r="7" spans="1:10">
      <c r="C7" t="s">
        <v>34</v>
      </c>
      <c r="D7">
        <v>1</v>
      </c>
      <c r="E7">
        <v>2</v>
      </c>
      <c r="F7">
        <v>3</v>
      </c>
      <c r="G7">
        <v>4</v>
      </c>
    </row>
    <row r="8" spans="1:10">
      <c r="A8">
        <v>9</v>
      </c>
      <c r="D8" s="19" t="s">
        <v>35</v>
      </c>
      <c r="E8" s="15" t="s">
        <v>36</v>
      </c>
      <c r="F8" s="14" t="s">
        <v>37</v>
      </c>
      <c r="G8" s="14" t="s">
        <v>38</v>
      </c>
      <c r="J8" s="1"/>
    </row>
    <row r="9" spans="1:10">
      <c r="D9" s="19"/>
      <c r="E9" s="15"/>
      <c r="F9" s="14"/>
      <c r="G9" s="14"/>
    </row>
    <row r="10" spans="1:10">
      <c r="D10" s="19"/>
      <c r="E10" s="15"/>
      <c r="F10" s="14"/>
      <c r="G10" s="14"/>
    </row>
    <row r="11" spans="1:10">
      <c r="A11">
        <v>10</v>
      </c>
      <c r="D11" s="19"/>
      <c r="E11" s="15"/>
      <c r="F11" s="14"/>
      <c r="G11" s="14"/>
    </row>
    <row r="12" spans="1:10">
      <c r="D12" s="19"/>
      <c r="E12" s="15"/>
      <c r="F12" s="14"/>
      <c r="G12" s="14"/>
    </row>
    <row r="13" spans="1:10">
      <c r="D13" s="19" t="s">
        <v>39</v>
      </c>
      <c r="E13" s="15" t="s">
        <v>40</v>
      </c>
      <c r="F13" s="14" t="s">
        <v>41</v>
      </c>
      <c r="G13" s="14" t="s">
        <v>42</v>
      </c>
    </row>
    <row r="14" spans="1:10">
      <c r="A14">
        <v>11</v>
      </c>
      <c r="D14" s="19"/>
      <c r="E14" s="15"/>
      <c r="F14" s="14"/>
      <c r="G14" s="14"/>
    </row>
    <row r="15" spans="1:10">
      <c r="D15" s="19"/>
      <c r="E15" s="15"/>
      <c r="F15" s="14"/>
      <c r="G15" s="14"/>
    </row>
    <row r="16" spans="1:10">
      <c r="D16" s="19"/>
      <c r="E16" s="15"/>
      <c r="F16" s="14"/>
      <c r="G16" s="14"/>
    </row>
    <row r="17" spans="1:7">
      <c r="A17">
        <v>12</v>
      </c>
      <c r="D17" s="19"/>
      <c r="E17" s="15"/>
      <c r="F17" s="14"/>
      <c r="G17" s="14"/>
    </row>
    <row r="18" spans="1:7">
      <c r="D18" s="19" t="s">
        <v>43</v>
      </c>
      <c r="E18" s="15" t="s">
        <v>44</v>
      </c>
      <c r="F18" s="14" t="s">
        <v>45</v>
      </c>
      <c r="G18" s="14" t="s">
        <v>46</v>
      </c>
    </row>
    <row r="19" spans="1:7">
      <c r="D19" s="19"/>
      <c r="E19" s="15"/>
      <c r="F19" s="14"/>
      <c r="G19" s="14"/>
    </row>
    <row r="20" spans="1:7">
      <c r="A20">
        <v>1</v>
      </c>
      <c r="D20" s="19"/>
      <c r="E20" s="15"/>
      <c r="F20" s="14"/>
      <c r="G20" s="14"/>
    </row>
    <row r="21" spans="1:7">
      <c r="D21" s="19"/>
      <c r="E21" s="15"/>
      <c r="F21" s="14"/>
      <c r="G21" s="14"/>
    </row>
    <row r="22" spans="1:7">
      <c r="D22" s="19"/>
      <c r="E22" s="15"/>
      <c r="F22" s="14"/>
      <c r="G22" s="14"/>
    </row>
    <row r="23" spans="1:7">
      <c r="A23">
        <v>2</v>
      </c>
      <c r="E23" s="16"/>
      <c r="F23" s="16"/>
    </row>
    <row r="24" spans="1:7">
      <c r="E24" s="17"/>
      <c r="F24" s="17"/>
    </row>
    <row r="25" spans="1:7">
      <c r="E25" s="17"/>
      <c r="F25" s="17"/>
    </row>
    <row r="26" spans="1:7">
      <c r="A26">
        <v>3</v>
      </c>
      <c r="E26" s="17"/>
      <c r="F26" s="17"/>
    </row>
    <row r="27" spans="1:7">
      <c r="E27" s="18"/>
      <c r="F27" s="18"/>
    </row>
    <row r="28" spans="1:7">
      <c r="E28" s="11"/>
    </row>
    <row r="29" spans="1:7">
      <c r="A29">
        <v>4</v>
      </c>
      <c r="E29" s="12"/>
    </row>
    <row r="30" spans="1:7">
      <c r="E30" s="12"/>
    </row>
    <row r="31" spans="1:7">
      <c r="E31" s="12"/>
    </row>
    <row r="32" spans="1:7">
      <c r="A32">
        <v>5</v>
      </c>
      <c r="E32" s="13"/>
    </row>
  </sheetData>
  <sheetProtection algorithmName="SHA-512" hashValue="xM0c1G9xagXpIXo0VxIM2c8hTXmN7emh0cLe5tamnrpVYCQA2dO91KKXMqU7PrUh/U/3Bst0gpik6Xu+Eiko8w==" saltValue="eM1qGwLSv4XqANtNG+FDEg==" spinCount="100000" sheet="1" objects="1" scenarios="1"/>
  <mergeCells count="15">
    <mergeCell ref="D8:D12"/>
    <mergeCell ref="D13:D17"/>
    <mergeCell ref="D18:D22"/>
    <mergeCell ref="F13:F17"/>
    <mergeCell ref="F18:F22"/>
    <mergeCell ref="E28:E32"/>
    <mergeCell ref="G8:G12"/>
    <mergeCell ref="G13:G17"/>
    <mergeCell ref="G18:G22"/>
    <mergeCell ref="E8:E12"/>
    <mergeCell ref="E13:E17"/>
    <mergeCell ref="E18:E22"/>
    <mergeCell ref="F8:F12"/>
    <mergeCell ref="E23:E27"/>
    <mergeCell ref="F23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Gao Tek Lim</dc:creator>
  <cp:keywords/>
  <dc:description/>
  <cp:lastModifiedBy>Gao Tek Lim</cp:lastModifiedBy>
  <cp:revision/>
  <dcterms:created xsi:type="dcterms:W3CDTF">2026-09-17T07:50:27Z</dcterms:created>
  <dcterms:modified xsi:type="dcterms:W3CDTF">2026-10-02T01:38:59Z</dcterms:modified>
  <cp:category/>
  <cp:contentStatus/>
</cp:coreProperties>
</file>